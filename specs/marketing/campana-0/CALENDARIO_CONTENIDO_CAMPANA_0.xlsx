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TS\Documents\PROYECTOS_APPS\CARTA_DIGITAL\APP-RESTOBAR-GS\specs\marketing\campana-0\"/>
    </mc:Choice>
  </mc:AlternateContent>
  <xr:revisionPtr revIDLastSave="0" documentId="13_ncr:1_{6CB19ABD-89B3-4AEE-B70B-1B9A9E7ABB1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alendario" sheetId="1" r:id="rId1"/>
    <sheet name="Stories diarias" sheetId="2" r:id="rId2"/>
    <sheet name="Pauta Meta" sheetId="3" r:id="rId3"/>
    <sheet name="KP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3" l="1"/>
</calcChain>
</file>

<file path=xl/sharedStrings.xml><?xml version="1.0" encoding="utf-8"?>
<sst xmlns="http://schemas.openxmlformats.org/spreadsheetml/2006/main" count="440" uniqueCount="316">
  <si>
    <t>Fecha</t>
  </si>
  <si>
    <t>Día</t>
  </si>
  <si>
    <t>Semana</t>
  </si>
  <si>
    <t>Eje</t>
  </si>
  <si>
    <t>Formato</t>
  </si>
  <si>
    <t>Plataforma</t>
  </si>
  <si>
    <t>Objetivo</t>
  </si>
  <si>
    <t>Hook</t>
  </si>
  <si>
    <t>Copy</t>
  </si>
  <si>
    <t>CTA</t>
  </si>
  <si>
    <t>Hashtags</t>
  </si>
  <si>
    <t>Horario publicación</t>
  </si>
  <si>
    <t>Métrica esperada</t>
  </si>
  <si>
    <t>Estado</t>
  </si>
  <si>
    <t>Notas</t>
  </si>
  <si>
    <t>11/07/2026</t>
  </si>
  <si>
    <t>Sábado</t>
  </si>
  <si>
    <t>Partidos + orquesta</t>
  </si>
  <si>
    <t>Video (nativo)</t>
  </si>
  <si>
    <t>TikTok + IG Reel + FB</t>
  </si>
  <si>
    <t>Llenar el local con los cuartos de final</t>
  </si>
  <si>
    <t>Hoy se define quién va a semifinales… y aquí lo ves en pantalla grande</t>
  </si>
  <si>
    <t>Cuartos de final del Mundial HOY: Noruega vs Inglaterra y Argentina vs Suiza. Pantalla grande, cerveza helada y cuando acaba el partido… la orquesta se encarga del resto. Av. El Sol 527, SJL.</t>
  </si>
  <si>
    <t>Ven temprano y asegura tu mesa</t>
  </si>
  <si>
    <t>#DestinoFinal #SJL #SanJuanDeLurigancho #RestobarLima #Mundial2026 #OrquestaEnVivo</t>
  </si>
  <si>
    <t>2h antes del primer partido (VERIFICAR hora Lima)</t>
  </si>
  <si>
    <t>Medir línea base: alcance, reproducciones, visitas al perfil</t>
  </si>
  <si>
    <t>Pendiente</t>
  </si>
  <si>
    <t>Verificar hora Lima de ambos partidos el 10/07. Grabar pantalla + barra antes de abrir.</t>
  </si>
  <si>
    <t>12/07/2026</t>
  </si>
  <si>
    <t>Domingo</t>
  </si>
  <si>
    <t>Zona / local</t>
  </si>
  <si>
    <t>Prueba social: mostrar el ambiente real</t>
  </si>
  <si>
    <t>Así se vivió el sábado en SJL</t>
  </si>
  <si>
    <t>El partido, la orquesta y la gente de la zona. Esto fue anoche en Destino Final. Si te lo perdiste, esta semana hay revancha: semifinales martes y miércoles.</t>
  </si>
  <si>
    <t>Síguenos para no perderte la próxima</t>
  </si>
  <si>
    <t>#DestinoFinal #SJL #SanJuanDeLurigancho #RestobarLima #Mundial2026</t>
  </si>
  <si>
    <t>12:30</t>
  </si>
  <si>
    <t>Editar con clips grabados el sábado (ambiente, orquesta, gente).</t>
  </si>
  <si>
    <t>13/07/2026</t>
  </si>
  <si>
    <t>Lunes</t>
  </si>
  <si>
    <t>Happy hour</t>
  </si>
  <si>
    <t>Flyer + video corto</t>
  </si>
  <si>
    <t>Lanzar el happy hour y traer gente en día flojo</t>
  </si>
  <si>
    <t>2x1 de lunes a jueves. Sí, leíste bien.</t>
  </si>
  <si>
    <t>HAPPY HOUR en Destino Final: de lunes a jueves, 4pm a 8pm, 2x1 en tragos seleccionados. El plan perfecto para después de la chamba o las clases.</t>
  </si>
  <si>
    <t>Etiqueta a la persona con la que vas a venir</t>
  </si>
  <si>
    <t>#DestinoFinal #SJL #SanJuanDeLurigancho #RestobarLima #HappyHour #2x1</t>
  </si>
  <si>
    <t>12:30 (flyer de refuerzo 18:30)</t>
  </si>
  <si>
    <t>Medir línea base: alcance, reproducciones, visitas al perfil + comentarios con etiquetas</t>
  </si>
  <si>
    <t>Jean define la lista de tragos seleccionados ANTES de publicar. Arranca AD-2.</t>
  </si>
  <si>
    <t>14/07/2026</t>
  </si>
  <si>
    <t>Martes</t>
  </si>
  <si>
    <t>Partidos + happy hour</t>
  </si>
  <si>
    <t>Traer gente a la semifinal 1 en horario de happy hour</t>
  </si>
  <si>
    <t>Semifinal del Mundial + 2x1: el martes no se queda en casa</t>
  </si>
  <si>
    <t>Hoy juega Francia la primera semifinal y la vemos en pantalla grande. Si llegas de 4 a 8pm, tus tragos seleccionados van 2x1. Mundial + happy hour en tu zona.</t>
  </si>
  <si>
    <t>Trae a tu equipo, mesa para todos</t>
  </si>
  <si>
    <t>#DestinoFinal #SJL #SanJuanDeLurigancho #RestobarLima #Mundial2026 #HappyHour</t>
  </si>
  <si>
    <t>2h antes del partido (VERIFICAR hora Lima)</t>
  </si>
  <si>
    <t>Rival de Francia sale del España–Bélgica del 10/07: confirmar equipos y hora antes de publicar.</t>
  </si>
  <si>
    <t>15/07/2026</t>
  </si>
  <si>
    <t>Miércoles</t>
  </si>
  <si>
    <t>Partidos</t>
  </si>
  <si>
    <t>Traer gente a la semifinal 2</t>
  </si>
  <si>
    <t>¿Y si esta noche se define el campeón que todos queremos ver?</t>
  </si>
  <si>
    <t>Segunda semifinal del Mundial HOY en Destino Final. Pantalla grande, buena música y la mejor hinchada de SJL. El bar de la zona donde el Mundial se vive de verdad.</t>
  </si>
  <si>
    <t>Comenta quién pasa a la final</t>
  </si>
  <si>
    <t>Medir línea base: alcance, reproducciones, visitas al perfil + comentarios</t>
  </si>
  <si>
    <t>Equipos salen de los cuartos del 11/07 (Nor/Ing vs Arg/Sui): confirmar antes de publicar.</t>
  </si>
  <si>
    <t>16/07/2026</t>
  </si>
  <si>
    <t>Jueves</t>
  </si>
  <si>
    <t>Universitarios</t>
  </si>
  <si>
    <t>Lanzar el 10% de descuento universitario</t>
  </si>
  <si>
    <t>Estudiante de SJL: tu 10% te está esperando</t>
  </si>
  <si>
    <t>Si eres universitario, en Destino Final tienes 10% de descuento. Y si vienes de 4 a 8pm, se suma al 2x1 del happy hour. El punto de encuentro después de clases.</t>
  </si>
  <si>
    <t>Muestra tu carné y listo</t>
  </si>
  <si>
    <t>#DestinoFinal #SJL #SanJuanDeLurigancho #RestobarLima #Universitarios #DescuentoUniversitario #HappyHour</t>
  </si>
  <si>
    <t>Jean confirma requisito (carné) y si aplica todos los días ANTES de publicar. ¿Se acumula con el 2x1? Definir.</t>
  </si>
  <si>
    <t>17/07/2026</t>
  </si>
  <si>
    <t>Viernes</t>
  </si>
  <si>
    <t>IG feed + FB</t>
  </si>
  <si>
    <t>Capturar a los hinchas de la Liga 1</t>
  </si>
  <si>
    <t>Vuelve la Liga 1… y la vemos aquí</t>
  </si>
  <si>
    <t>Arranca el Torneo Clausura: Alianza recibe a Sport Huancayo y la U visita Tarma. Todos los partidos de tu equipo, en pantalla, con la carta completa de Destino Final.</t>
  </si>
  <si>
    <t>Comenta de qué equipo eres</t>
  </si>
  <si>
    <t>#DestinoFinal #SJL #SanJuanDeLurigancho #RestobarLima #Liga1 #Clausura2026</t>
  </si>
  <si>
    <t>Verificar programación/canal de la fecha 1 (L1 Max) antes de publicar.</t>
  </si>
  <si>
    <t>18/07/2026</t>
  </si>
  <si>
    <t>Sábado completo: tercer puesto + orquesta</t>
  </si>
  <si>
    <t>Hoy: partido por el tercer puesto + orquesta en vivo</t>
  </si>
  <si>
    <t>Calentamiento para la gran final: hoy se juega el tercer puesto del Mundial y al terminar, orquesta en vivo. El sábado completo está en Av. El Sol 527.</t>
  </si>
  <si>
    <t>Asegura tu mesa desde temprano</t>
  </si>
  <si>
    <t>Alcance ≥ promedio semana 1 +20%</t>
  </si>
  <si>
    <t>19/07/2026</t>
  </si>
  <si>
    <t>Flyer + video + cobertura en vivo</t>
  </si>
  <si>
    <t>Evento central: llenar el local para la FINAL</t>
  </si>
  <si>
    <t>La final del Mundial se ve en tu zona</t>
  </si>
  <si>
    <t>HOY ES LA FINAL DEL MUNDIAL y en Destino Final se vive en pantalla grande. Ven con tu familia o tu barra, hay mesa para todos… si llegas temprano. Aforo limitado (70 personas).</t>
  </si>
  <si>
    <t>Reserva tu mesa por WhatsApp (link en bio)</t>
  </si>
  <si>
    <t>#DestinoFinal #SJL #SanJuanDeLurigancho #RestobarLima #Mundial2026 #FinalMundial2026</t>
  </si>
  <si>
    <t>Flyer 10:00 + stories desde 2h antes (VERIFICAR hora Lima)</t>
  </si>
  <si>
    <t>N° de reservas/DMs + alcance récord de la campaña</t>
  </si>
  <si>
    <t>Pieza más importante de la campaña. Grabar TODO para el recap. AD-1 termina hoy.</t>
  </si>
  <si>
    <t>20/07/2026</t>
  </si>
  <si>
    <t>Prueba social del evento de la final</t>
  </si>
  <si>
    <t>Así se vivió la final del Mundial en SJL</t>
  </si>
  <si>
    <t>Gritos, abrazos y la mejor hinchada de la zona. Gracias a todos los que vivieron la final con nosotros. Esto recién empieza: happy hour de lunes a jueves, 4 a 8pm.</t>
  </si>
  <si>
    <t>Síguenos: esta semana hay más</t>
  </si>
  <si>
    <t>Usar material grabado el domingo.</t>
  </si>
  <si>
    <t>21/07/2026</t>
  </si>
  <si>
    <t>Empujar cócteles (subvendidos según POS) dentro del 2x1</t>
  </si>
  <si>
    <t>El 2x1 que casi nadie conoce: nuestros cócteles</t>
  </si>
  <si>
    <t>Pisco sour, mojito, laguna azul, cuba libre… nuestra barra hace magia y de lunes a jueves (4–8pm) van con 2x1 si son tragos seleccionados. Ven a descubrir tu nuevo favorito.</t>
  </si>
  <si>
    <t>¿Cuál pruebas primero? Comenta</t>
  </si>
  <si>
    <t>#DestinoFinal #SJL #SanJuanDeLurigancho #RestobarLima #HappyHour #Cocteles #PiscoSour</t>
  </si>
  <si>
    <t>Alcance ≥ promedio semana 1 +20% + guardados</t>
  </si>
  <si>
    <t>Palanca F0: cócteles casi no se venden. Grabar preparación en barra (video satisfactorio).</t>
  </si>
  <si>
    <t>22/07/2026</t>
  </si>
  <si>
    <t>Club DF</t>
  </si>
  <si>
    <t>Explicar el Club DF y captar socios</t>
  </si>
  <si>
    <t>Cada sol que gastas aquí… te devuelve</t>
  </si>
  <si>
    <t>¿Ya eres del Club DF? Cada sol que consumes se convierte en 1 punto, y tus puntos se convierten en premios. Te registras en caja en 1 minuto con tu número de WhatsApp.</t>
  </si>
  <si>
    <t>Pregunta en caja y actívalo hoy</t>
  </si>
  <si>
    <t>#DestinoFinal #SJL #SanJuanDeLurigancho #RestobarLima #ClubDF #Puntos</t>
  </si>
  <si>
    <t>N° de socios nuevos en POS esa semana</t>
  </si>
  <si>
    <t>Coordinar con caja para registrar socios sin fricción.</t>
  </si>
  <si>
    <t>23/07/2026</t>
  </si>
  <si>
    <t>Consolidar el jueves universitario</t>
  </si>
  <si>
    <t>Plan de jueves: salir de clases y caer aquí</t>
  </si>
  <si>
    <t>Jueves = 10% de descuento universitario + happy hour 2x1 hasta las 8pm. Trae a tu grupo del ciclo y arma la previa del fin de semana en tu zona.</t>
  </si>
  <si>
    <t>Etiqueta a tu grupo de la U</t>
  </si>
  <si>
    <t>#DestinoFinal #SJL #SanJuanDeLurigancho #RestobarLima #Universitarios #HappyHour #JuevesUniversitario</t>
  </si>
  <si>
    <t>Alcance ≥ promedio semana 1 +20% + etiquetas en comentarios</t>
  </si>
  <si>
    <t>24/07/2026</t>
  </si>
  <si>
    <t>Fiestas Patrias</t>
  </si>
  <si>
    <t>Anunciar el programa de Fiestas Patrias</t>
  </si>
  <si>
    <t>Fiestas Patrias se celebran en tu barrio</t>
  </si>
  <si>
    <t>Se viene el 28 y 29 en Destino Final: pantalla, música y la mejor previa patriótica de SJL. Mañana sábado: orquesta en vivo. Guarda este post para no perderte nada.</t>
  </si>
  <si>
    <t>Guarda este post</t>
  </si>
  <si>
    <t>#DestinoFinal #SJL #SanJuanDeLurigancho #RestobarLima #FiestasPatrias #28DeJulio</t>
  </si>
  <si>
    <t>Guardados + alcance</t>
  </si>
  <si>
    <t>Arranca AD-3. Confirmar con Jean el programa exacto del 28-29 antes de publicar.</t>
  </si>
  <si>
    <t>25/07/2026</t>
  </si>
  <si>
    <t>Sábado de Liga 1 + orquesta</t>
  </si>
  <si>
    <t>Sábado de fútbol y orquesta: el combo de siempre</t>
  </si>
  <si>
    <t>Fecha 2 del Clausura en pantalla y orquesta en vivo por la noche. El sábado en SJL tiene nombre: Destino Final.</t>
  </si>
  <si>
    <t>Ven antes del partido y quédate al show</t>
  </si>
  <si>
    <t>#DestinoFinal #SJL #SanJuanDeLurigancho #RestobarLima #Liga1 #OrquestaEnVivo</t>
  </si>
  <si>
    <t>12:30 (verificar programación de la fecha 2)</t>
  </si>
  <si>
    <t>Alcance ≥ promedio semana 2</t>
  </si>
  <si>
    <t>Verificar qué partidos de la fecha 2 caen sábado.</t>
  </si>
  <si>
    <t>26/07/2026</t>
  </si>
  <si>
    <t>Humanizar la marca: cocina y producto</t>
  </si>
  <si>
    <t>Así salen las alitas que están dando que hablar en SJL</t>
  </si>
  <si>
    <t>Detrás de cámaras: nuestras alitas, del fuego a tu mesa. Hechas aquí, en tu zona, con el punto exacto. ¿Ya las probaste?</t>
  </si>
  <si>
    <t>Ven a probarlas este fin de patrias</t>
  </si>
  <si>
    <t>#DestinoFinal #SJL #SanJuanDeLurigancho #RestobarLima #Alitas #FoodTikTok</t>
  </si>
  <si>
    <t>Alcance ≥ promedio semana 2 + guardados</t>
  </si>
  <si>
    <t>Grabar en cocina con buena luz. Alitas = margen 43.75% (F0).</t>
  </si>
  <si>
    <t>27/07/2026</t>
  </si>
  <si>
    <t>Recordar el programa del 28-29</t>
  </si>
  <si>
    <t>Mañana empieza lo bueno: 28 y 29 en Destino Final</t>
  </si>
  <si>
    <t>Programa patriótico: pantalla grande, música, happy hour 2x1 hoy y todo listo para el 28 y 29. Celebra el Perú en tu zona, sin cruzar toda Lima.</t>
  </si>
  <si>
    <t>Trae a la familia o a la barra</t>
  </si>
  <si>
    <t>#DestinoFinal #SJL #SanJuanDeLurigancho #RestobarLima #FiestasPatrias #VivaElPeru</t>
  </si>
  <si>
    <t>28/07/2026</t>
  </si>
  <si>
    <t>Cobertura + video</t>
  </si>
  <si>
    <t>Cobertura del 28 y captación del público de feriado</t>
  </si>
  <si>
    <t>¡Feliz 28! Hoy se brinda por el Perú</t>
  </si>
  <si>
    <t>¡Felices Fiestas Patrias! Hoy celebramos a lo grande: ambiente patriótico, pantalla y la mejor carta de la zona. Abierto desde las 4pm (confirmar horario de feriado).</t>
  </si>
  <si>
    <t>Ven a brindar por el Perú</t>
  </si>
  <si>
    <t>#DestinoFinal #SJL #SanJuanDeLurigancho #RestobarLima #FiestasPatrias #28DeJulio #VivaElPeru</t>
  </si>
  <si>
    <t>11:00 + stories durante el día</t>
  </si>
  <si>
    <t>Alcance ≥ promedio semana 2 + ventas del día vs línea base</t>
  </si>
  <si>
    <t>Confirmar con Jean horario especial de feriado ANTES de publicar.</t>
  </si>
  <si>
    <t>29/07/2026</t>
  </si>
  <si>
    <t>Sostener el feriado día 2</t>
  </si>
  <si>
    <t>El 29 también se celebra (y mejor)</t>
  </si>
  <si>
    <t>¿Pensabas que el 28 fue todo? Hoy seguimos celebrando: segundo día de patrias en Destino Final. Mismo ambiente, misma zona, cero tráfico para llegar.</t>
  </si>
  <si>
    <t>Hoy repetimos: te esperamos</t>
  </si>
  <si>
    <t>#DestinoFinal #SJL #SanJuanDeLurigancho #RestobarLima #FiestasPatrias #29DeJulio</t>
  </si>
  <si>
    <t>30/07/2026</t>
  </si>
  <si>
    <t>Happy hour + universitarios</t>
  </si>
  <si>
    <t>Reactivar tras feriado con HH + 10% uni</t>
  </si>
  <si>
    <t>¿Resaca de patrias? El 2x1 la cura</t>
  </si>
  <si>
    <t>Volvemos a la rutina, pero con estilo: happy hour 2x1 de 4 a 8pm y 10% de descuento universitario. El jueves perfecto para alargar las patrias un día más.</t>
  </si>
  <si>
    <t>Ven con tu carné y tu grupo</t>
  </si>
  <si>
    <t>#DestinoFinal #SJL #SanJuanDeLurigancho #RestobarLima #HappyHour #Universitarios</t>
  </si>
  <si>
    <t>31/07/2026</t>
  </si>
  <si>
    <t>Club DF + cierre</t>
  </si>
  <si>
    <t>Cerrar campaña y convertir alcance en socios Club DF</t>
  </si>
  <si>
    <t>3 semanas, un Mundial, unas patrias… y una comunidad</t>
  </si>
  <si>
    <t>Un Mundial, Fiestas Patrias, orquestas y mucha gente de SJL que ya es parte de la casa. Gracias. Si aún no eres del Club DF, regístrate en caja: cada sol suma puntos y agosto viene con más.</t>
  </si>
  <si>
    <t>Únete al Club DF en tu próxima visita</t>
  </si>
  <si>
    <t>#DestinoFinal #SJL #SanJuanDeLurigancho #RestobarLima #ClubDF #GraciasSJL</t>
  </si>
  <si>
    <t>Socios Club DF totales vs meta (≥30) + resumen de campaña</t>
  </si>
  <si>
    <t>Editar highlights con lo mejor de las 3 semanas.</t>
  </si>
  <si>
    <t>Cuándo</t>
  </si>
  <si>
    <t>Hora</t>
  </si>
  <si>
    <t>Story</t>
  </si>
  <si>
    <t>CTA / elemento interactivo</t>
  </si>
  <si>
    <t>Lunes a jueves</t>
  </si>
  <si>
    <t>15:30</t>
  </si>
  <si>
    <t>Recordatorio: "El happy hour 2x1 arranca en 30 min" (foto de la barra o boomerang de tragos)</t>
  </si>
  <si>
    <t>Sticker de cuenta regresiva a las 4pm</t>
  </si>
  <si>
    <t>Días de partido</t>
  </si>
  <si>
    <t>2h antes (verificar hora Lima)</t>
  </si>
  <si>
    <t>"HOY juega [equipo]: lo vemos aquí en pantalla grande" + hora confirmada</t>
  </si>
  <si>
    <t>Sticker de encuesta: ¿quién gana?</t>
  </si>
  <si>
    <t>Durante el partido</t>
  </si>
  <si>
    <t>2-3 clips del ambiente en vivo (goles, reacciones de la gente)</t>
  </si>
  <si>
    <t>Ubicación Av. El Sol 527 + mención @</t>
  </si>
  <si>
    <t>Sábados (11, 18, 25)</t>
  </si>
  <si>
    <t>18:00</t>
  </si>
  <si>
    <t>"Esta noche: orquesta en vivo después del partido"</t>
  </si>
  <si>
    <t>Sticker de música o cuenta regresiva</t>
  </si>
  <si>
    <t>Martes y jueves</t>
  </si>
  <si>
    <t>13:00</t>
  </si>
  <si>
    <t>Encuesta de producto: "¿Pisco sour o mojito?" / "¿Alitas BBQ o picantes?"</t>
  </si>
  <si>
    <t>Encuesta de 2 opciones (genera interacción barata)</t>
  </si>
  <si>
    <t>Todos los días</t>
  </si>
  <si>
    <t>21:00</t>
  </si>
  <si>
    <t>CTA Club DF: "¿Ya sumaste tus puntos de hoy? 1 sol = 1 punto"</t>
  </si>
  <si>
    <t>Link a carta digital destinofinal.vercel.app</t>
  </si>
  <si>
    <t>12:00</t>
  </si>
  <si>
    <t>"Jueves universitario: 10% con tu carné + 2x1 hasta las 8pm"</t>
  </si>
  <si>
    <t>Sticker de pregunta: ¿de qué universidad eres? (insumo para F1)</t>
  </si>
  <si>
    <t>Si una pieza principal no se pudo grabar</t>
  </si>
  <si>
    <t>Horario de la pieza</t>
  </si>
  <si>
    <t>RESPALDO: repostear flyer del eje del día + story del local en vivo</t>
  </si>
  <si>
    <t>Mantiene la cadencia sin romper el calendario</t>
  </si>
  <si>
    <t>ID</t>
  </si>
  <si>
    <t>Anuncio</t>
  </si>
  <si>
    <t>Objetivo Meta</t>
  </si>
  <si>
    <t>Audiencia</t>
  </si>
  <si>
    <t>Radio geo</t>
  </si>
  <si>
    <t>Fechas</t>
  </si>
  <si>
    <t>Presupuesto (S/)</t>
  </si>
  <si>
    <t>Creativo</t>
  </si>
  <si>
    <t>KPI primario</t>
  </si>
  <si>
    <t>AD-1</t>
  </si>
  <si>
    <t>El Mundial se vive en Destino Final</t>
  </si>
  <si>
    <t>Alcance / visitas al perfil</t>
  </si>
  <si>
    <t>18-45 años, SJL</t>
  </si>
  <si>
    <t>3 km desde Av. El Sol 527</t>
  </si>
  <si>
    <t>11-19 jul</t>
  </si>
  <si>
    <t>Video del local con pantalla + partido (pieza del 11/07)</t>
  </si>
  <si>
    <t>Alcance y visitas al perfil</t>
  </si>
  <si>
    <t>AD-2</t>
  </si>
  <si>
    <t>Happy hour 2x1 + 10% universitario</t>
  </si>
  <si>
    <t>Alcance / mensajes</t>
  </si>
  <si>
    <t>18-26 años, interés: universidades</t>
  </si>
  <si>
    <t>13-31 jul</t>
  </si>
  <si>
    <t>Flyer HH + reel del bartender (pieza del 13/07)</t>
  </si>
  <si>
    <t>Mensajes recibidos + canjes registrados</t>
  </si>
  <si>
    <t>AD-3</t>
  </si>
  <si>
    <t>Fiestas Patrias + orquesta en vivo</t>
  </si>
  <si>
    <t>Alcance</t>
  </si>
  <si>
    <t>18-50 años, SJL</t>
  </si>
  <si>
    <t>24-29 jul</t>
  </si>
  <si>
    <t>Flyer programa patrias (pieza del 24/07)</t>
  </si>
  <si>
    <t>Alcance + ventas 28-29 vs línea base</t>
  </si>
  <si>
    <t>TOTAL</t>
  </si>
  <si>
    <t>Tope aprobado: S/ 300 (no exceder)</t>
  </si>
  <si>
    <t>KPI</t>
  </si>
  <si>
    <t>Fórmula / fuente</t>
  </si>
  <si>
    <t>Frecuencia</t>
  </si>
  <si>
    <t>Responsable</t>
  </si>
  <si>
    <t>Línea base (09/07)</t>
  </si>
  <si>
    <t>Meta al 02/08 (booleana)</t>
  </si>
  <si>
    <t>Piezas principales publicadas</t>
  </si>
  <si>
    <t>Conteo vs hoja Calendario</t>
  </si>
  <si>
    <t>Semanal</t>
  </si>
  <si>
    <t>Asistente</t>
  </si>
  <si>
    <t>0</t>
  </si>
  <si>
    <t>≥19 de 21</t>
  </si>
  <si>
    <t>Gasto en pauta</t>
  </si>
  <si>
    <t>Meta Ads Manager</t>
  </si>
  <si>
    <t>Jean</t>
  </si>
  <si>
    <t>S/ 0</t>
  </si>
  <si>
    <t>≤ S/ 300 total</t>
  </si>
  <si>
    <t>Seguidores Instagram</t>
  </si>
  <si>
    <t>App IG (captura semanal)</t>
  </si>
  <si>
    <t>24</t>
  </si>
  <si>
    <t>≥150</t>
  </si>
  <si>
    <t>Seguidores TikTok</t>
  </si>
  <si>
    <t>App TikTok (captura semanal)</t>
  </si>
  <si>
    <t>PENDIENTE: capturar al iniciar</t>
  </si>
  <si>
    <t>Registrado inicio y cierre</t>
  </si>
  <si>
    <t>Página Facebook activa</t>
  </si>
  <si>
    <t>Meta Business Suite</t>
  </si>
  <si>
    <t>Única</t>
  </si>
  <si>
    <t>Inactiva (en creación)</t>
  </si>
  <si>
    <t>Activa y publicando</t>
  </si>
  <si>
    <t>Socios Club DF</t>
  </si>
  <si>
    <t>POS Supabase, tabla clientes</t>
  </si>
  <si>
    <t>8</t>
  </si>
  <si>
    <t>≥30</t>
  </si>
  <si>
    <t>Canjes happy hour / 10% uni</t>
  </si>
  <si>
    <t>Conteo manual del personal + POS</t>
  </si>
  <si>
    <t>Diario</t>
  </si>
  <si>
    <t>Personal de sala</t>
  </si>
  <si>
    <t>Registro semanal existe (sí/no)</t>
  </si>
  <si>
    <t>Ventas y ticket de la ventana 11-31 jul</t>
  </si>
  <si>
    <t>POS Supabase (ordenes, pagos)</t>
  </si>
  <si>
    <t>Semanal + cierre</t>
  </si>
  <si>
    <t>Jean/Harness</t>
  </si>
  <si>
    <t>Ticket S/ 50.55 (F0, preliminar)</t>
  </si>
  <si>
    <t>Reporte de cierre comparado vs F0</t>
  </si>
  <si>
    <t>Horas de partido verificadas antes de publicar</t>
  </si>
  <si>
    <t>Checklist del asistente</t>
  </si>
  <si>
    <t>Por pieza</t>
  </si>
  <si>
    <t>—</t>
  </si>
  <si>
    <t>0 correcciones por dato falso</t>
  </si>
  <si>
    <t>Local con futbol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</si>
</sst>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EF7"/>
        <bgColor rgb="FFE9F3E9"/>
      </patternFill>
    </fill>
    <fill>
      <patternFill patternType="solid">
        <fgColor rgb="FFFDF2E3"/>
        <bgColor rgb="FFE9F3E9"/>
      </patternFill>
    </fill>
    <fill>
      <patternFill patternType="solid">
        <fgColor rgb="FFE9F3E9"/>
        <bgColor rgb="FFE8EEF7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2" borderId="0" xfId="0" applyFont="1" applyFill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F2E3"/>
      <rgbColor rgb="FFE9F3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baseColWidth="10" defaultColWidth="8.6328125" defaultRowHeight="14.5" x14ac:dyDescent="0.35"/>
  <cols>
    <col min="1" max="1" width="11" customWidth="1"/>
    <col min="2" max="2" width="10" customWidth="1"/>
    <col min="3" max="3" width="8" customWidth="1"/>
    <col min="4" max="4" width="20" customWidth="1"/>
    <col min="5" max="5" width="16" customWidth="1"/>
    <col min="6" max="6" width="18" customWidth="1"/>
    <col min="7" max="7" width="30" customWidth="1"/>
    <col min="8" max="8" width="32" customWidth="1"/>
    <col min="9" max="9" width="55" customWidth="1"/>
    <col min="10" max="10" width="26" customWidth="1"/>
    <col min="11" max="11" width="34" customWidth="1"/>
    <col min="12" max="12" width="24" customWidth="1"/>
    <col min="13" max="13" width="28" customWidth="1"/>
    <col min="14" max="14" width="11" customWidth="1"/>
    <col min="15" max="15" width="38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9">
        <v>45848</v>
      </c>
      <c r="B2" t="s">
        <v>80</v>
      </c>
      <c r="C2">
        <v>1</v>
      </c>
      <c r="D2" t="s">
        <v>53</v>
      </c>
      <c r="E2" t="s">
        <v>18</v>
      </c>
      <c r="F2" t="s">
        <v>19</v>
      </c>
      <c r="G2" t="s">
        <v>315</v>
      </c>
    </row>
    <row r="3" spans="1:15" ht="50" x14ac:dyDescent="0.35">
      <c r="A3" s="2" t="s">
        <v>15</v>
      </c>
      <c r="B3" s="2" t="s">
        <v>16</v>
      </c>
      <c r="C3" s="2">
        <v>1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ht="37.5" x14ac:dyDescent="0.35">
      <c r="A4" s="2" t="s">
        <v>29</v>
      </c>
      <c r="B4" s="2" t="s">
        <v>30</v>
      </c>
      <c r="C4" s="2">
        <v>1</v>
      </c>
      <c r="D4" s="2" t="s">
        <v>31</v>
      </c>
      <c r="E4" s="2" t="s">
        <v>18</v>
      </c>
      <c r="F4" s="2" t="s">
        <v>19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26</v>
      </c>
      <c r="N4" s="2" t="s">
        <v>27</v>
      </c>
      <c r="O4" s="2" t="s">
        <v>38</v>
      </c>
    </row>
    <row r="5" spans="1:15" ht="37.5" x14ac:dyDescent="0.35">
      <c r="A5" s="2" t="s">
        <v>39</v>
      </c>
      <c r="B5" s="2" t="s">
        <v>40</v>
      </c>
      <c r="C5" s="2">
        <v>1</v>
      </c>
      <c r="D5" s="2" t="s">
        <v>41</v>
      </c>
      <c r="E5" s="2" t="s">
        <v>42</v>
      </c>
      <c r="F5" s="2" t="s">
        <v>19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27</v>
      </c>
      <c r="O5" s="2" t="s">
        <v>50</v>
      </c>
    </row>
    <row r="6" spans="1:15" ht="37.5" x14ac:dyDescent="0.35">
      <c r="A6" s="2" t="s">
        <v>51</v>
      </c>
      <c r="B6" s="2" t="s">
        <v>52</v>
      </c>
      <c r="C6" s="2">
        <v>1</v>
      </c>
      <c r="D6" s="2" t="s">
        <v>53</v>
      </c>
      <c r="E6" s="2" t="s">
        <v>18</v>
      </c>
      <c r="F6" s="2" t="s">
        <v>19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26</v>
      </c>
      <c r="N6" s="2" t="s">
        <v>27</v>
      </c>
      <c r="O6" s="2" t="s">
        <v>60</v>
      </c>
    </row>
    <row r="7" spans="1:15" ht="37.5" x14ac:dyDescent="0.35">
      <c r="A7" s="2" t="s">
        <v>61</v>
      </c>
      <c r="B7" s="2" t="s">
        <v>62</v>
      </c>
      <c r="C7" s="2">
        <v>1</v>
      </c>
      <c r="D7" s="2" t="s">
        <v>63</v>
      </c>
      <c r="E7" s="2" t="s">
        <v>18</v>
      </c>
      <c r="F7" s="2" t="s">
        <v>19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36</v>
      </c>
      <c r="L7" s="2" t="s">
        <v>59</v>
      </c>
      <c r="M7" s="2" t="s">
        <v>68</v>
      </c>
      <c r="N7" s="2" t="s">
        <v>27</v>
      </c>
      <c r="O7" s="2" t="s">
        <v>69</v>
      </c>
    </row>
    <row r="8" spans="1:15" ht="50" x14ac:dyDescent="0.35">
      <c r="A8" s="2" t="s">
        <v>70</v>
      </c>
      <c r="B8" s="2" t="s">
        <v>71</v>
      </c>
      <c r="C8" s="2">
        <v>1</v>
      </c>
      <c r="D8" s="2" t="s">
        <v>72</v>
      </c>
      <c r="E8" s="2" t="s">
        <v>42</v>
      </c>
      <c r="F8" s="2" t="s">
        <v>19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37</v>
      </c>
      <c r="M8" s="2" t="s">
        <v>26</v>
      </c>
      <c r="N8" s="2" t="s">
        <v>27</v>
      </c>
      <c r="O8" s="2" t="s">
        <v>78</v>
      </c>
    </row>
    <row r="9" spans="1:15" ht="37.5" x14ac:dyDescent="0.35">
      <c r="A9" s="2" t="s">
        <v>79</v>
      </c>
      <c r="B9" s="2" t="s">
        <v>80</v>
      </c>
      <c r="C9" s="2">
        <v>1</v>
      </c>
      <c r="D9" s="2" t="s">
        <v>63</v>
      </c>
      <c r="E9" s="2" t="s">
        <v>42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86</v>
      </c>
      <c r="L9" s="2" t="s">
        <v>37</v>
      </c>
      <c r="M9" s="2" t="s">
        <v>68</v>
      </c>
      <c r="N9" s="2" t="s">
        <v>27</v>
      </c>
      <c r="O9" s="2" t="s">
        <v>87</v>
      </c>
    </row>
    <row r="10" spans="1:15" ht="37.5" x14ac:dyDescent="0.35">
      <c r="A10" s="3" t="s">
        <v>88</v>
      </c>
      <c r="B10" s="3" t="s">
        <v>16</v>
      </c>
      <c r="C10" s="3">
        <v>2</v>
      </c>
      <c r="D10" s="3" t="s">
        <v>17</v>
      </c>
      <c r="E10" s="3" t="s">
        <v>18</v>
      </c>
      <c r="F10" s="3" t="s">
        <v>19</v>
      </c>
      <c r="G10" s="3" t="s">
        <v>89</v>
      </c>
      <c r="H10" s="3" t="s">
        <v>90</v>
      </c>
      <c r="I10" s="3" t="s">
        <v>91</v>
      </c>
      <c r="J10" s="3" t="s">
        <v>92</v>
      </c>
      <c r="K10" s="3" t="s">
        <v>24</v>
      </c>
      <c r="L10" s="3" t="s">
        <v>59</v>
      </c>
      <c r="M10" s="3" t="s">
        <v>93</v>
      </c>
      <c r="N10" s="3" t="s">
        <v>27</v>
      </c>
      <c r="O10" s="3"/>
    </row>
    <row r="11" spans="1:15" ht="37.5" x14ac:dyDescent="0.35">
      <c r="A11" s="3" t="s">
        <v>94</v>
      </c>
      <c r="B11" s="3" t="s">
        <v>30</v>
      </c>
      <c r="C11" s="3">
        <v>2</v>
      </c>
      <c r="D11" s="3" t="s">
        <v>63</v>
      </c>
      <c r="E11" s="3" t="s">
        <v>95</v>
      </c>
      <c r="F11" s="3" t="s">
        <v>19</v>
      </c>
      <c r="G11" s="3" t="s">
        <v>96</v>
      </c>
      <c r="H11" s="3" t="s">
        <v>97</v>
      </c>
      <c r="I11" s="3" t="s">
        <v>98</v>
      </c>
      <c r="J11" s="3" t="s">
        <v>99</v>
      </c>
      <c r="K11" s="3" t="s">
        <v>100</v>
      </c>
      <c r="L11" s="3" t="s">
        <v>101</v>
      </c>
      <c r="M11" s="3" t="s">
        <v>102</v>
      </c>
      <c r="N11" s="3" t="s">
        <v>27</v>
      </c>
      <c r="O11" s="3" t="s">
        <v>103</v>
      </c>
    </row>
    <row r="12" spans="1:15" ht="37.5" x14ac:dyDescent="0.35">
      <c r="A12" s="3" t="s">
        <v>104</v>
      </c>
      <c r="B12" s="3" t="s">
        <v>40</v>
      </c>
      <c r="C12" s="3">
        <v>2</v>
      </c>
      <c r="D12" s="3" t="s">
        <v>31</v>
      </c>
      <c r="E12" s="3" t="s">
        <v>18</v>
      </c>
      <c r="F12" s="3" t="s">
        <v>19</v>
      </c>
      <c r="G12" s="3" t="s">
        <v>105</v>
      </c>
      <c r="H12" s="3" t="s">
        <v>106</v>
      </c>
      <c r="I12" s="3" t="s">
        <v>107</v>
      </c>
      <c r="J12" s="3" t="s">
        <v>108</v>
      </c>
      <c r="K12" s="3" t="s">
        <v>58</v>
      </c>
      <c r="L12" s="3" t="s">
        <v>37</v>
      </c>
      <c r="M12" s="3" t="s">
        <v>93</v>
      </c>
      <c r="N12" s="3" t="s">
        <v>27</v>
      </c>
      <c r="O12" s="3" t="s">
        <v>109</v>
      </c>
    </row>
    <row r="13" spans="1:15" ht="37.5" x14ac:dyDescent="0.35">
      <c r="A13" s="3" t="s">
        <v>110</v>
      </c>
      <c r="B13" s="3" t="s">
        <v>52</v>
      </c>
      <c r="C13" s="3">
        <v>2</v>
      </c>
      <c r="D13" s="3" t="s">
        <v>41</v>
      </c>
      <c r="E13" s="3" t="s">
        <v>18</v>
      </c>
      <c r="F13" s="3" t="s">
        <v>19</v>
      </c>
      <c r="G13" s="3" t="s">
        <v>111</v>
      </c>
      <c r="H13" s="3" t="s">
        <v>112</v>
      </c>
      <c r="I13" s="3" t="s">
        <v>113</v>
      </c>
      <c r="J13" s="3" t="s">
        <v>114</v>
      </c>
      <c r="K13" s="3" t="s">
        <v>115</v>
      </c>
      <c r="L13" s="3" t="s">
        <v>37</v>
      </c>
      <c r="M13" s="3" t="s">
        <v>116</v>
      </c>
      <c r="N13" s="3" t="s">
        <v>27</v>
      </c>
      <c r="O13" s="3" t="s">
        <v>117</v>
      </c>
    </row>
    <row r="14" spans="1:15" ht="37.5" x14ac:dyDescent="0.35">
      <c r="A14" s="3" t="s">
        <v>118</v>
      </c>
      <c r="B14" s="3" t="s">
        <v>62</v>
      </c>
      <c r="C14" s="3">
        <v>2</v>
      </c>
      <c r="D14" s="3" t="s">
        <v>119</v>
      </c>
      <c r="E14" s="3" t="s">
        <v>42</v>
      </c>
      <c r="F14" s="3" t="s">
        <v>19</v>
      </c>
      <c r="G14" s="3" t="s">
        <v>120</v>
      </c>
      <c r="H14" s="3" t="s">
        <v>121</v>
      </c>
      <c r="I14" s="3" t="s">
        <v>122</v>
      </c>
      <c r="J14" s="3" t="s">
        <v>123</v>
      </c>
      <c r="K14" s="3" t="s">
        <v>124</v>
      </c>
      <c r="L14" s="3" t="s">
        <v>37</v>
      </c>
      <c r="M14" s="3" t="s">
        <v>125</v>
      </c>
      <c r="N14" s="3" t="s">
        <v>27</v>
      </c>
      <c r="O14" s="3" t="s">
        <v>126</v>
      </c>
    </row>
    <row r="15" spans="1:15" ht="50" x14ac:dyDescent="0.35">
      <c r="A15" s="3" t="s">
        <v>127</v>
      </c>
      <c r="B15" s="3" t="s">
        <v>71</v>
      </c>
      <c r="C15" s="3">
        <v>2</v>
      </c>
      <c r="D15" s="3" t="s">
        <v>72</v>
      </c>
      <c r="E15" s="3" t="s">
        <v>18</v>
      </c>
      <c r="F15" s="3" t="s">
        <v>19</v>
      </c>
      <c r="G15" s="3" t="s">
        <v>128</v>
      </c>
      <c r="H15" s="3" t="s">
        <v>129</v>
      </c>
      <c r="I15" s="3" t="s">
        <v>130</v>
      </c>
      <c r="J15" s="3" t="s">
        <v>131</v>
      </c>
      <c r="K15" s="3" t="s">
        <v>132</v>
      </c>
      <c r="L15" s="3" t="s">
        <v>37</v>
      </c>
      <c r="M15" s="3" t="s">
        <v>133</v>
      </c>
      <c r="N15" s="3" t="s">
        <v>27</v>
      </c>
      <c r="O15" s="3"/>
    </row>
    <row r="16" spans="1:15" ht="37.5" x14ac:dyDescent="0.35">
      <c r="A16" s="3" t="s">
        <v>134</v>
      </c>
      <c r="B16" s="3" t="s">
        <v>80</v>
      </c>
      <c r="C16" s="3">
        <v>2</v>
      </c>
      <c r="D16" s="3" t="s">
        <v>135</v>
      </c>
      <c r="E16" s="3" t="s">
        <v>42</v>
      </c>
      <c r="F16" s="3" t="s">
        <v>81</v>
      </c>
      <c r="G16" s="3" t="s">
        <v>136</v>
      </c>
      <c r="H16" s="3" t="s">
        <v>137</v>
      </c>
      <c r="I16" s="3" t="s">
        <v>138</v>
      </c>
      <c r="J16" s="3" t="s">
        <v>139</v>
      </c>
      <c r="K16" s="3" t="s">
        <v>140</v>
      </c>
      <c r="L16" s="3" t="s">
        <v>37</v>
      </c>
      <c r="M16" s="3" t="s">
        <v>141</v>
      </c>
      <c r="N16" s="3" t="s">
        <v>27</v>
      </c>
      <c r="O16" s="3" t="s">
        <v>142</v>
      </c>
    </row>
    <row r="17" spans="1:15" ht="37.5" x14ac:dyDescent="0.35">
      <c r="A17" s="4" t="s">
        <v>143</v>
      </c>
      <c r="B17" s="4" t="s">
        <v>16</v>
      </c>
      <c r="C17" s="4">
        <v>3</v>
      </c>
      <c r="D17" s="4" t="s">
        <v>17</v>
      </c>
      <c r="E17" s="4" t="s">
        <v>18</v>
      </c>
      <c r="F17" s="4" t="s">
        <v>19</v>
      </c>
      <c r="G17" s="4" t="s">
        <v>144</v>
      </c>
      <c r="H17" s="4" t="s">
        <v>145</v>
      </c>
      <c r="I17" s="4" t="s">
        <v>146</v>
      </c>
      <c r="J17" s="4" t="s">
        <v>147</v>
      </c>
      <c r="K17" s="4" t="s">
        <v>148</v>
      </c>
      <c r="L17" s="4" t="s">
        <v>149</v>
      </c>
      <c r="M17" s="4" t="s">
        <v>150</v>
      </c>
      <c r="N17" s="4" t="s">
        <v>27</v>
      </c>
      <c r="O17" s="4" t="s">
        <v>151</v>
      </c>
    </row>
    <row r="18" spans="1:15" ht="37.5" x14ac:dyDescent="0.35">
      <c r="A18" s="4" t="s">
        <v>152</v>
      </c>
      <c r="B18" s="4" t="s">
        <v>30</v>
      </c>
      <c r="C18" s="4">
        <v>3</v>
      </c>
      <c r="D18" s="4" t="s">
        <v>31</v>
      </c>
      <c r="E18" s="4" t="s">
        <v>18</v>
      </c>
      <c r="F18" s="4" t="s">
        <v>19</v>
      </c>
      <c r="G18" s="4" t="s">
        <v>153</v>
      </c>
      <c r="H18" s="4" t="s">
        <v>154</v>
      </c>
      <c r="I18" s="4" t="s">
        <v>155</v>
      </c>
      <c r="J18" s="4" t="s">
        <v>156</v>
      </c>
      <c r="K18" s="4" t="s">
        <v>157</v>
      </c>
      <c r="L18" s="4" t="s">
        <v>37</v>
      </c>
      <c r="M18" s="4" t="s">
        <v>158</v>
      </c>
      <c r="N18" s="4" t="s">
        <v>27</v>
      </c>
      <c r="O18" s="4" t="s">
        <v>159</v>
      </c>
    </row>
    <row r="19" spans="1:15" ht="37.5" x14ac:dyDescent="0.35">
      <c r="A19" s="4" t="s">
        <v>160</v>
      </c>
      <c r="B19" s="4" t="s">
        <v>40</v>
      </c>
      <c r="C19" s="4">
        <v>3</v>
      </c>
      <c r="D19" s="4" t="s">
        <v>135</v>
      </c>
      <c r="E19" s="4" t="s">
        <v>42</v>
      </c>
      <c r="F19" s="4" t="s">
        <v>19</v>
      </c>
      <c r="G19" s="4" t="s">
        <v>161</v>
      </c>
      <c r="H19" s="4" t="s">
        <v>162</v>
      </c>
      <c r="I19" s="4" t="s">
        <v>163</v>
      </c>
      <c r="J19" s="4" t="s">
        <v>164</v>
      </c>
      <c r="K19" s="4" t="s">
        <v>165</v>
      </c>
      <c r="L19" s="4" t="s">
        <v>37</v>
      </c>
      <c r="M19" s="4" t="s">
        <v>150</v>
      </c>
      <c r="N19" s="4" t="s">
        <v>27</v>
      </c>
      <c r="O19" s="4"/>
    </row>
    <row r="20" spans="1:15" ht="37.5" x14ac:dyDescent="0.35">
      <c r="A20" s="4" t="s">
        <v>166</v>
      </c>
      <c r="B20" s="4" t="s">
        <v>52</v>
      </c>
      <c r="C20" s="4">
        <v>3</v>
      </c>
      <c r="D20" s="4" t="s">
        <v>135</v>
      </c>
      <c r="E20" s="4" t="s">
        <v>167</v>
      </c>
      <c r="F20" s="4" t="s">
        <v>19</v>
      </c>
      <c r="G20" s="4" t="s">
        <v>168</v>
      </c>
      <c r="H20" s="4" t="s">
        <v>169</v>
      </c>
      <c r="I20" s="4" t="s">
        <v>170</v>
      </c>
      <c r="J20" s="4" t="s">
        <v>171</v>
      </c>
      <c r="K20" s="4" t="s">
        <v>172</v>
      </c>
      <c r="L20" s="4" t="s">
        <v>173</v>
      </c>
      <c r="M20" s="4" t="s">
        <v>174</v>
      </c>
      <c r="N20" s="4" t="s">
        <v>27</v>
      </c>
      <c r="O20" s="4" t="s">
        <v>175</v>
      </c>
    </row>
    <row r="21" spans="1:15" ht="37.5" x14ac:dyDescent="0.35">
      <c r="A21" s="4" t="s">
        <v>176</v>
      </c>
      <c r="B21" s="4" t="s">
        <v>62</v>
      </c>
      <c r="C21" s="4">
        <v>3</v>
      </c>
      <c r="D21" s="4" t="s">
        <v>135</v>
      </c>
      <c r="E21" s="4" t="s">
        <v>167</v>
      </c>
      <c r="F21" s="4" t="s">
        <v>19</v>
      </c>
      <c r="G21" s="4" t="s">
        <v>177</v>
      </c>
      <c r="H21" s="4" t="s">
        <v>178</v>
      </c>
      <c r="I21" s="4" t="s">
        <v>179</v>
      </c>
      <c r="J21" s="4" t="s">
        <v>180</v>
      </c>
      <c r="K21" s="4" t="s">
        <v>181</v>
      </c>
      <c r="L21" s="4" t="s">
        <v>173</v>
      </c>
      <c r="M21" s="4" t="s">
        <v>150</v>
      </c>
      <c r="N21" s="4" t="s">
        <v>27</v>
      </c>
      <c r="O21" s="4"/>
    </row>
    <row r="22" spans="1:15" ht="37.5" x14ac:dyDescent="0.35">
      <c r="A22" s="4" t="s">
        <v>182</v>
      </c>
      <c r="B22" s="4" t="s">
        <v>71</v>
      </c>
      <c r="C22" s="4">
        <v>3</v>
      </c>
      <c r="D22" s="4" t="s">
        <v>183</v>
      </c>
      <c r="E22" s="4" t="s">
        <v>18</v>
      </c>
      <c r="F22" s="4" t="s">
        <v>19</v>
      </c>
      <c r="G22" s="4" t="s">
        <v>184</v>
      </c>
      <c r="H22" s="4" t="s">
        <v>185</v>
      </c>
      <c r="I22" s="4" t="s">
        <v>186</v>
      </c>
      <c r="J22" s="4" t="s">
        <v>187</v>
      </c>
      <c r="K22" s="4" t="s">
        <v>188</v>
      </c>
      <c r="L22" s="4" t="s">
        <v>37</v>
      </c>
      <c r="M22" s="4" t="s">
        <v>150</v>
      </c>
      <c r="N22" s="4" t="s">
        <v>27</v>
      </c>
      <c r="O22" s="4"/>
    </row>
    <row r="23" spans="1:15" ht="37.5" x14ac:dyDescent="0.35">
      <c r="A23" s="4" t="s">
        <v>189</v>
      </c>
      <c r="B23" s="4" t="s">
        <v>80</v>
      </c>
      <c r="C23" s="4">
        <v>3</v>
      </c>
      <c r="D23" s="4" t="s">
        <v>190</v>
      </c>
      <c r="E23" s="4" t="s">
        <v>18</v>
      </c>
      <c r="F23" s="4" t="s">
        <v>19</v>
      </c>
      <c r="G23" s="4" t="s">
        <v>191</v>
      </c>
      <c r="H23" s="4" t="s">
        <v>192</v>
      </c>
      <c r="I23" s="4" t="s">
        <v>193</v>
      </c>
      <c r="J23" s="4" t="s">
        <v>194</v>
      </c>
      <c r="K23" s="4" t="s">
        <v>195</v>
      </c>
      <c r="L23" s="4" t="s">
        <v>37</v>
      </c>
      <c r="M23" s="4" t="s">
        <v>196</v>
      </c>
      <c r="N23" s="4" t="s">
        <v>27</v>
      </c>
      <c r="O23" s="4" t="s">
        <v>197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/>
  </sheetViews>
  <sheetFormatPr baseColWidth="10" defaultColWidth="8.6328125" defaultRowHeight="14.5" x14ac:dyDescent="0.35"/>
  <cols>
    <col min="1" max="2" width="26" customWidth="1"/>
    <col min="3" max="3" width="60" customWidth="1"/>
    <col min="4" max="4" width="38" customWidth="1"/>
  </cols>
  <sheetData>
    <row r="1" spans="1:4" x14ac:dyDescent="0.35">
      <c r="A1" s="5" t="s">
        <v>198</v>
      </c>
      <c r="B1" s="5" t="s">
        <v>199</v>
      </c>
      <c r="C1" s="5" t="s">
        <v>200</v>
      </c>
      <c r="D1" s="5" t="s">
        <v>201</v>
      </c>
    </row>
    <row r="2" spans="1:4" ht="25" x14ac:dyDescent="0.35">
      <c r="A2" s="6" t="s">
        <v>202</v>
      </c>
      <c r="B2" s="6" t="s">
        <v>203</v>
      </c>
      <c r="C2" s="6" t="s">
        <v>204</v>
      </c>
      <c r="D2" s="6" t="s">
        <v>205</v>
      </c>
    </row>
    <row r="3" spans="1:4" ht="25" x14ac:dyDescent="0.35">
      <c r="A3" s="6" t="s">
        <v>206</v>
      </c>
      <c r="B3" s="6" t="s">
        <v>207</v>
      </c>
      <c r="C3" s="6" t="s">
        <v>208</v>
      </c>
      <c r="D3" s="6" t="s">
        <v>209</v>
      </c>
    </row>
    <row r="4" spans="1:4" x14ac:dyDescent="0.35">
      <c r="A4" s="6" t="s">
        <v>206</v>
      </c>
      <c r="B4" s="6" t="s">
        <v>210</v>
      </c>
      <c r="C4" s="6" t="s">
        <v>211</v>
      </c>
      <c r="D4" s="6" t="s">
        <v>212</v>
      </c>
    </row>
    <row r="5" spans="1:4" x14ac:dyDescent="0.35">
      <c r="A5" s="6" t="s">
        <v>213</v>
      </c>
      <c r="B5" s="6" t="s">
        <v>214</v>
      </c>
      <c r="C5" s="6" t="s">
        <v>215</v>
      </c>
      <c r="D5" s="6" t="s">
        <v>216</v>
      </c>
    </row>
    <row r="6" spans="1:4" ht="25" x14ac:dyDescent="0.35">
      <c r="A6" s="6" t="s">
        <v>217</v>
      </c>
      <c r="B6" s="6" t="s">
        <v>218</v>
      </c>
      <c r="C6" s="6" t="s">
        <v>219</v>
      </c>
      <c r="D6" s="6" t="s">
        <v>220</v>
      </c>
    </row>
    <row r="7" spans="1:4" x14ac:dyDescent="0.35">
      <c r="A7" s="6" t="s">
        <v>221</v>
      </c>
      <c r="B7" s="6" t="s">
        <v>222</v>
      </c>
      <c r="C7" s="6" t="s">
        <v>223</v>
      </c>
      <c r="D7" s="6" t="s">
        <v>224</v>
      </c>
    </row>
    <row r="8" spans="1:4" ht="25" x14ac:dyDescent="0.35">
      <c r="A8" s="6" t="s">
        <v>71</v>
      </c>
      <c r="B8" s="6" t="s">
        <v>225</v>
      </c>
      <c r="C8" s="6" t="s">
        <v>226</v>
      </c>
      <c r="D8" s="6" t="s">
        <v>227</v>
      </c>
    </row>
    <row r="9" spans="1:4" ht="25" x14ac:dyDescent="0.35">
      <c r="A9" s="6" t="s">
        <v>228</v>
      </c>
      <c r="B9" s="6" t="s">
        <v>229</v>
      </c>
      <c r="C9" s="6" t="s">
        <v>230</v>
      </c>
      <c r="D9" s="6" t="s">
        <v>231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zoomScaleNormal="100" workbookViewId="0"/>
  </sheetViews>
  <sheetFormatPr baseColWidth="10" defaultColWidth="8.6328125" defaultRowHeight="14.5" x14ac:dyDescent="0.35"/>
  <cols>
    <col min="1" max="1" width="7" customWidth="1"/>
    <col min="2" max="2" width="34" customWidth="1"/>
    <col min="3" max="3" width="22" customWidth="1"/>
    <col min="4" max="4" width="30" customWidth="1"/>
    <col min="5" max="5" width="24" customWidth="1"/>
    <col min="6" max="6" width="12" customWidth="1"/>
    <col min="7" max="7" width="15" customWidth="1"/>
    <col min="8" max="8" width="42" customWidth="1"/>
    <col min="9" max="9" width="36" customWidth="1"/>
  </cols>
  <sheetData>
    <row r="1" spans="1:9" x14ac:dyDescent="0.35">
      <c r="A1" s="5" t="s">
        <v>232</v>
      </c>
      <c r="B1" s="5" t="s">
        <v>233</v>
      </c>
      <c r="C1" s="5" t="s">
        <v>234</v>
      </c>
      <c r="D1" s="5" t="s">
        <v>235</v>
      </c>
      <c r="E1" s="5" t="s">
        <v>236</v>
      </c>
      <c r="F1" s="5" t="s">
        <v>237</v>
      </c>
      <c r="G1" s="5" t="s">
        <v>238</v>
      </c>
      <c r="H1" s="5" t="s">
        <v>239</v>
      </c>
      <c r="I1" s="5" t="s">
        <v>240</v>
      </c>
    </row>
    <row r="2" spans="1:9" ht="25" x14ac:dyDescent="0.35">
      <c r="A2" s="6" t="s">
        <v>241</v>
      </c>
      <c r="B2" s="6" t="s">
        <v>242</v>
      </c>
      <c r="C2" s="6" t="s">
        <v>243</v>
      </c>
      <c r="D2" s="6" t="s">
        <v>244</v>
      </c>
      <c r="E2" s="6" t="s">
        <v>245</v>
      </c>
      <c r="F2" s="6" t="s">
        <v>246</v>
      </c>
      <c r="G2" s="6">
        <v>100</v>
      </c>
      <c r="H2" s="6" t="s">
        <v>247</v>
      </c>
      <c r="I2" s="6" t="s">
        <v>248</v>
      </c>
    </row>
    <row r="3" spans="1:9" x14ac:dyDescent="0.35">
      <c r="A3" s="6" t="s">
        <v>249</v>
      </c>
      <c r="B3" s="6" t="s">
        <v>250</v>
      </c>
      <c r="C3" s="6" t="s">
        <v>251</v>
      </c>
      <c r="D3" s="6" t="s">
        <v>252</v>
      </c>
      <c r="E3" s="6" t="s">
        <v>245</v>
      </c>
      <c r="F3" s="6" t="s">
        <v>253</v>
      </c>
      <c r="G3" s="6">
        <v>110</v>
      </c>
      <c r="H3" s="6" t="s">
        <v>254</v>
      </c>
      <c r="I3" s="6" t="s">
        <v>255</v>
      </c>
    </row>
    <row r="4" spans="1:9" x14ac:dyDescent="0.35">
      <c r="A4" s="6" t="s">
        <v>256</v>
      </c>
      <c r="B4" s="6" t="s">
        <v>257</v>
      </c>
      <c r="C4" s="6" t="s">
        <v>258</v>
      </c>
      <c r="D4" s="6" t="s">
        <v>259</v>
      </c>
      <c r="E4" s="6" t="s">
        <v>245</v>
      </c>
      <c r="F4" s="6" t="s">
        <v>260</v>
      </c>
      <c r="G4" s="6">
        <v>90</v>
      </c>
      <c r="H4" s="6" t="s">
        <v>261</v>
      </c>
      <c r="I4" s="6" t="s">
        <v>262</v>
      </c>
    </row>
    <row r="5" spans="1:9" x14ac:dyDescent="0.35">
      <c r="A5" s="7"/>
      <c r="B5" s="7" t="s">
        <v>263</v>
      </c>
      <c r="C5" s="7"/>
      <c r="D5" s="7"/>
      <c r="E5" s="7"/>
      <c r="F5" s="7"/>
      <c r="G5" s="8">
        <f>SUM(G2:G4)</f>
        <v>300</v>
      </c>
      <c r="H5" s="7"/>
      <c r="I5" s="7" t="s">
        <v>264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zoomScaleNormal="100" workbookViewId="0"/>
  </sheetViews>
  <sheetFormatPr baseColWidth="10" defaultColWidth="8.6328125" defaultRowHeight="14.5" x14ac:dyDescent="0.35"/>
  <cols>
    <col min="1" max="2" width="34" customWidth="1"/>
    <col min="3" max="3" width="16" customWidth="1"/>
    <col min="4" max="4" width="18" customWidth="1"/>
    <col min="5" max="6" width="30" customWidth="1"/>
  </cols>
  <sheetData>
    <row r="1" spans="1:6" x14ac:dyDescent="0.35">
      <c r="A1" s="5" t="s">
        <v>265</v>
      </c>
      <c r="B1" s="5" t="s">
        <v>266</v>
      </c>
      <c r="C1" s="5" t="s">
        <v>267</v>
      </c>
      <c r="D1" s="5" t="s">
        <v>268</v>
      </c>
      <c r="E1" s="5" t="s">
        <v>269</v>
      </c>
      <c r="F1" s="5" t="s">
        <v>270</v>
      </c>
    </row>
    <row r="2" spans="1:6" x14ac:dyDescent="0.35">
      <c r="A2" s="6" t="s">
        <v>271</v>
      </c>
      <c r="B2" s="6" t="s">
        <v>272</v>
      </c>
      <c r="C2" s="6" t="s">
        <v>273</v>
      </c>
      <c r="D2" s="6" t="s">
        <v>274</v>
      </c>
      <c r="E2" s="6" t="s">
        <v>275</v>
      </c>
      <c r="F2" s="6" t="s">
        <v>276</v>
      </c>
    </row>
    <row r="3" spans="1:6" x14ac:dyDescent="0.35">
      <c r="A3" s="6" t="s">
        <v>277</v>
      </c>
      <c r="B3" s="6" t="s">
        <v>278</v>
      </c>
      <c r="C3" s="6" t="s">
        <v>273</v>
      </c>
      <c r="D3" s="6" t="s">
        <v>279</v>
      </c>
      <c r="E3" s="6" t="s">
        <v>280</v>
      </c>
      <c r="F3" s="6" t="s">
        <v>281</v>
      </c>
    </row>
    <row r="4" spans="1:6" x14ac:dyDescent="0.35">
      <c r="A4" s="6" t="s">
        <v>282</v>
      </c>
      <c r="B4" s="6" t="s">
        <v>283</v>
      </c>
      <c r="C4" s="6" t="s">
        <v>273</v>
      </c>
      <c r="D4" s="6" t="s">
        <v>274</v>
      </c>
      <c r="E4" s="6" t="s">
        <v>284</v>
      </c>
      <c r="F4" s="6" t="s">
        <v>285</v>
      </c>
    </row>
    <row r="5" spans="1:6" x14ac:dyDescent="0.35">
      <c r="A5" s="6" t="s">
        <v>286</v>
      </c>
      <c r="B5" s="6" t="s">
        <v>287</v>
      </c>
      <c r="C5" s="6" t="s">
        <v>273</v>
      </c>
      <c r="D5" s="6" t="s">
        <v>274</v>
      </c>
      <c r="E5" s="6" t="s">
        <v>288</v>
      </c>
      <c r="F5" s="6" t="s">
        <v>289</v>
      </c>
    </row>
    <row r="6" spans="1:6" x14ac:dyDescent="0.35">
      <c r="A6" s="6" t="s">
        <v>290</v>
      </c>
      <c r="B6" s="6" t="s">
        <v>291</v>
      </c>
      <c r="C6" s="6" t="s">
        <v>292</v>
      </c>
      <c r="D6" s="6" t="s">
        <v>274</v>
      </c>
      <c r="E6" s="6" t="s">
        <v>293</v>
      </c>
      <c r="F6" s="6" t="s">
        <v>294</v>
      </c>
    </row>
    <row r="7" spans="1:6" x14ac:dyDescent="0.35">
      <c r="A7" s="6" t="s">
        <v>295</v>
      </c>
      <c r="B7" s="6" t="s">
        <v>296</v>
      </c>
      <c r="C7" s="6" t="s">
        <v>273</v>
      </c>
      <c r="D7" s="6" t="s">
        <v>279</v>
      </c>
      <c r="E7" s="6" t="s">
        <v>297</v>
      </c>
      <c r="F7" s="6" t="s">
        <v>298</v>
      </c>
    </row>
    <row r="8" spans="1:6" x14ac:dyDescent="0.35">
      <c r="A8" s="6" t="s">
        <v>299</v>
      </c>
      <c r="B8" s="6" t="s">
        <v>300</v>
      </c>
      <c r="C8" s="6" t="s">
        <v>301</v>
      </c>
      <c r="D8" s="6" t="s">
        <v>302</v>
      </c>
      <c r="E8" s="6" t="s">
        <v>275</v>
      </c>
      <c r="F8" s="6" t="s">
        <v>303</v>
      </c>
    </row>
    <row r="9" spans="1:6" x14ac:dyDescent="0.35">
      <c r="A9" s="6" t="s">
        <v>304</v>
      </c>
      <c r="B9" s="6" t="s">
        <v>305</v>
      </c>
      <c r="C9" s="6" t="s">
        <v>306</v>
      </c>
      <c r="D9" s="6" t="s">
        <v>307</v>
      </c>
      <c r="E9" s="6" t="s">
        <v>308</v>
      </c>
      <c r="F9" s="6" t="s">
        <v>309</v>
      </c>
    </row>
    <row r="10" spans="1:6" ht="25" x14ac:dyDescent="0.35">
      <c r="A10" s="6" t="s">
        <v>310</v>
      </c>
      <c r="B10" s="6" t="s">
        <v>311</v>
      </c>
      <c r="C10" s="6" t="s">
        <v>312</v>
      </c>
      <c r="D10" s="6" t="s">
        <v>274</v>
      </c>
      <c r="E10" s="6" t="s">
        <v>313</v>
      </c>
      <c r="F10" s="6" t="s">
        <v>314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Calendario</vt:lpstr>
      <vt:lpstr>Stories diarias</vt:lpstr>
      <vt:lpstr>Pauta Meta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i201521093 (Trinidad Suarez, Hugo Jean Pierre)</cp:lastModifiedBy>
  <cp:revision>0</cp:revision>
  <dcterms:created xsi:type="dcterms:W3CDTF">2026-07-10T04:10:42Z</dcterms:created>
  <dcterms:modified xsi:type="dcterms:W3CDTF">2026-07-10T04:14:58Z</dcterms:modified>
  <dc:language>en-US</dc:language>
</cp:coreProperties>
</file>